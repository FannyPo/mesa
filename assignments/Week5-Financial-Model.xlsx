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Economics" sheetId="1" state="visible" r:id="rId3"/>
    <sheet name="Financial Model" sheetId="2" state="visible" r:id="rId4"/>
    <sheet name="Sensitivity" sheetId="3" state="visible" r:id="rId5"/>
    <sheet name="Cost Audi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<sst xmlns="http://schemas.openxmlformats.org/spreadsheetml/2006/main" count="206" uniqueCount="142">
  <si>
    <t xml:space="preserve">Unit Economics: Grocery Chain Partnership</t>
  </si>
  <si>
    <t xml:space="preserve">Pre-Diabetic Family Weekly Food System | Fanny Polanco | BUS 395</t>
  </si>
  <si>
    <t xml:space="preserve">KEY ASSUMPTIONS</t>
  </si>
  <si>
    <t xml:space="preserve">Variable</t>
  </si>
  <si>
    <t xml:space="preserve">Value</t>
  </si>
  <si>
    <t xml:space="preserve">Type</t>
  </si>
  <si>
    <t xml:space="preserve">Comments</t>
  </si>
  <si>
    <t xml:space="preserve">Revenue per active user / month</t>
  </si>
  <si>
    <t xml:space="preserve">ASSUMPTION</t>
  </si>
  <si>
    <t xml:space="preserve">Below PlateJoy $30-50/member healthcare rate (no HIPAA); above $1-2 loyalty punch-card tech. No chain approached yet.</t>
  </si>
  <si>
    <t xml:space="preserve">AI inference / user / month</t>
  </si>
  <si>
    <t xml:space="preserve">DATA</t>
  </si>
  <si>
    <t xml:space="preserve">Calculated from published Claude API pricing. ~6,900 input + 2,500 output tokens/plan x4 plans + mid-week interactions + 20% buffer.</t>
  </si>
  <si>
    <t xml:space="preserve">Hosting variable / user / month</t>
  </si>
  <si>
    <t xml:space="preserve">Compute + storage beyond base, security-grade tier for health-adjacent data.</t>
  </si>
  <si>
    <t xml:space="preserve">Customer support / user / month</t>
  </si>
  <si>
    <t xml:space="preserve">~3% monthly contact rate at 15 min each.</t>
  </si>
  <si>
    <t xml:space="preserve">Hosting base / month (fixed)</t>
  </si>
  <si>
    <t xml:space="preserve">Security-grade cloud tier (encrypted storage, access controls, audit logging).</t>
  </si>
  <si>
    <t xml:space="preserve">Data integration maint / month (fixed)</t>
  </si>
  <si>
    <t xml:space="preserve">Weekly circular ingestion pipeline: parsing, price normalization, SKU matching. 4-6 hrs/mo.</t>
  </si>
  <si>
    <t xml:space="preserve">Clinical advisor / month (fixed)</t>
  </si>
  <si>
    <t xml:space="preserve">RD/CDE, 20 hrs/mo at $150/hr. Spot-checks, logic review on model/guideline updates, flagged reports.</t>
  </si>
  <si>
    <t xml:space="preserve">Insurance / month (fixed)</t>
  </si>
  <si>
    <t xml:space="preserve">E&amp;O + product liability + cyber/data-breach + general. Health-adjacent product.</t>
  </si>
  <si>
    <t xml:space="preserve">Compliance tooling / month (fixed)</t>
  </si>
  <si>
    <t xml:space="preserve">CCPA obligations; privacy policy + consent management tooling.</t>
  </si>
  <si>
    <t xml:space="preserve">QA automation / month (fixed)</t>
  </si>
  <si>
    <t xml:space="preserve">Automated budget/flagged-food/glycemic checks as backstop to spot review.</t>
  </si>
  <si>
    <t xml:space="preserve">Founder hourly rate</t>
  </si>
  <si>
    <t xml:space="preserve">PER ASSIGNMENT</t>
  </si>
  <si>
    <t xml:space="preserve">Valued at $0 per assignment instruction. Real hours ~22-34/mo (tracked, not valued).</t>
  </si>
  <si>
    <t xml:space="preserve">Active users (for fixed-cost allocation)</t>
  </si>
  <si>
    <t xml:space="preserve">Reference cohort size for per-user allocation of base infrastructure.</t>
  </si>
  <si>
    <t xml:space="preserve">CALCULATED VALUES</t>
  </si>
  <si>
    <t xml:space="preserve">Metric</t>
  </si>
  <si>
    <t xml:space="preserve">Formula</t>
  </si>
  <si>
    <t xml:space="preserve">COGS per user (incl. allocated infra)</t>
  </si>
  <si>
    <t xml:space="preserve">AI + hosting var + support + (hosting base + data integ)/users</t>
  </si>
  <si>
    <t xml:space="preserve">All per-user variable costs.</t>
  </si>
  <si>
    <t xml:space="preserve">Gross margin per user / month</t>
  </si>
  <si>
    <t xml:space="preserve">Revenue - COGS per user</t>
  </si>
  <si>
    <t xml:space="preserve">Contribution per active user before fixed costs.</t>
  </si>
  <si>
    <t xml:space="preserve">Gross margin %</t>
  </si>
  <si>
    <t xml:space="preserve">Margin / revenue</t>
  </si>
  <si>
    <t xml:space="preserve">Target realistic range 60-70% for health-adjacent AI SaaS.</t>
  </si>
  <si>
    <t xml:space="preserve">Total operating expenses / month</t>
  </si>
  <si>
    <t xml:space="preserve">Clinical + insurance + compliance + QA (not in COGS)</t>
  </si>
  <si>
    <t xml:space="preserve">Operating cost stack once live at scale.</t>
  </si>
  <si>
    <t xml:space="preserve">Break-even active users</t>
  </si>
  <si>
    <t xml:space="preserve">Operating expenses / gross margin per user</t>
  </si>
  <si>
    <t xml:space="preserve">Users needed from one chain deal to cover fixed costs.</t>
  </si>
  <si>
    <t xml:space="preserve">Financial Model: First 6 Months</t>
  </si>
  <si>
    <t xml:space="preserve">Three scenarios differ by ASSUMPTIONS (deal-close timing, chain promotion, churn) - not just volume.</t>
  </si>
  <si>
    <t xml:space="preserve">PESSIMISTIC SCENARIO</t>
  </si>
  <si>
    <t xml:space="preserve">Cold outreach, no champion; chain treats tool as a background feature. Deal closes Month 6; 40%/mo churn (matches interview abandonment pattern).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</si>
  <si>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</si>
  <si>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</si>
  <si>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</si>
  <si>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</si>
  <si>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</si>
  <si>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</si>
  <si>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</si>
  <si>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Assumptions</t>
  </si>
  <si>
    <t xml:space="preserve">Active users</t>
  </si>
  <si>
    <t xml:space="preserve">Deal closes M6 at 0.5% activation of 50k base. No active promotion. 40% churn = interview-pattern.</t>
  </si>
  <si>
    <t xml:space="preserve">Revenue</t>
  </si>
  <si>
    <t xml:space="preserve">Active users x rate ('Unit Economics'!B6).</t>
  </si>
  <si>
    <t xml:space="preserve">Variable costs</t>
  </si>
  <si>
    <t xml:space="preserve">Active users x variable cost/user.</t>
  </si>
  <si>
    <t xml:space="preserve">Fixed costs</t>
  </si>
  <si>
    <t xml:space="preserve">Full operating stack from Unit Economics (live-scale assumption).</t>
  </si>
  <si>
    <t xml:space="preserve">Net</t>
  </si>
  <si>
    <t xml:space="preserve">Cumulative net</t>
  </si>
  <si>
    <t xml:space="preserve">BASE SCENARIO</t>
  </si>
  <si>
    <t xml:space="preserve">Deal closes mid-window with modest promotion; 0.5% activation; 20% monthly churn (assumes grocery context softens abandonment - unproven).</t>
  </si>
  <si>
    <t xml:space="preserve">Deal closes M3, 250 users. 20% churn is a hope pending Wizard-of-Oz evidence.</t>
  </si>
  <si>
    <t xml:space="preserve">OPTIMISTIC SCENARIO</t>
  </si>
  <si>
    <t xml:space="preserve">Warm intro; chain actively promotes the tool; ~2% activation; 10% monthly churn.</t>
  </si>
  <si>
    <t xml:space="preserve">Deal closes M2, 1,000 users (2% of 50k). Active promotion; 10% churn.</t>
  </si>
  <si>
    <t xml:space="preserve">KEY TAKEAWAYS</t>
  </si>
  <si>
    <t xml:space="preserve">1.</t>
  </si>
  <si>
    <t xml:space="preserve">No scenario breaks even in 6 months. Base ends deeply negative and is still climbing toward break-even.</t>
  </si>
  <si>
    <t xml:space="preserve">2.</t>
  </si>
  <si>
    <t xml:space="preserve">Short-term swing variable = WHEN the deal closes. Each pre-revenue month costs the full fixed stack (~$4,500) with $0 revenue.</t>
  </si>
  <si>
    <t xml:space="preserve">3.</t>
  </si>
  <si>
    <t xml:space="preserve">Long-term swing variable = the chain RATE. $2 vs $5 is a binary viability gate (break-even ~3,214 users at $2 - not achievable from one regional pilot).</t>
  </si>
  <si>
    <t xml:space="preserve">4.</t>
  </si>
  <si>
    <t xml:space="preserve">To break even: defer the full fixed stack until near-deal (pre-launch real cost ~$500-800/mo), secure active chain promotion (push activation toward 2%), and solve churn.</t>
  </si>
  <si>
    <t xml:space="preserve">5.</t>
  </si>
  <si>
    <t xml:space="preserve">Biggest risk = churn. Interview data supports 40%, not the 20% base assumption. At 40%, a 250-user base decays to ~11 within six months.</t>
  </si>
  <si>
    <t xml:space="preserve">Sensitivity Analysis</t>
  </si>
  <si>
    <t xml:space="preserve">Change one variable at a time. Break-even users = fixed costs / gross margin per user.</t>
  </si>
  <si>
    <t xml:space="preserve">CHAIN RATE PER USER / MONTH</t>
  </si>
  <si>
    <t xml:space="preserve">Rate/user</t>
  </si>
  <si>
    <t xml:space="preserve">Gross margin/user</t>
  </si>
  <si>
    <t xml:space="preserve">Break-even users</t>
  </si>
  <si>
    <t xml:space="preserve">Background loyalty feature. Margin collapses; not viable.</t>
  </si>
  <si>
    <t xml:space="preserve">Still thin. Break-even out of reach for one pilot.</t>
  </si>
  <si>
    <t xml:space="preserve">Base assumption. Hard but real (~1,200 users).</t>
  </si>
  <si>
    <t xml:space="preserve">Positioned as wellness benefit. Achievable.</t>
  </si>
  <si>
    <t xml:space="preserve">Diabetes-prevention benefit framing - reintroduces clinical/compliance burden.</t>
  </si>
  <si>
    <t xml:space="preserve">MONTHLY CHURN (users retained from 250 after 6 months)</t>
  </si>
  <si>
    <t xml:space="preserve">Churn/mo</t>
  </si>
  <si>
    <t xml:space="preserve">After 3 mo</t>
  </si>
  <si>
    <t xml:space="preserve">After 6 mo</t>
  </si>
  <si>
    <t xml:space="preserve">Optimistic. Grocery context strongly changes behavior.</t>
  </si>
  <si>
    <t xml:space="preserve">Base assumption (unproven hope).</t>
  </si>
  <si>
    <t xml:space="preserve">Midpoint.</t>
  </si>
  <si>
    <t xml:space="preserve">What the interview data actually supports.</t>
  </si>
  <si>
    <t xml:space="preserve">Cost Audit Trail: How the Numbers Changed</t>
  </si>
  <si>
    <t xml:space="preserve">AI undercounted costs and produced a 95% margin. Pushback corrected three costs and added five missing ones.</t>
  </si>
  <si>
    <t xml:space="preserve">Cost Category</t>
  </si>
  <si>
    <t xml:space="preserve">AI First Pass</t>
  </si>
  <si>
    <t xml:space="preserve">After Pushback</t>
  </si>
  <si>
    <t xml:space="preserve">AI inference / user</t>
  </si>
  <si>
    <t xml:space="preserve">Token count was 3x too low. Real plan needs circular (~3k tokens), rules, profile, pantry, prior week + mid-week interactions.</t>
  </si>
  <si>
    <t xml:space="preserve">Hosting variable / user</t>
  </si>
  <si>
    <t xml:space="preserve">Unchanged per-user; base tier upgraded to security-grade (see fixed).</t>
  </si>
  <si>
    <t xml:space="preserve">Customer support / user</t>
  </si>
  <si>
    <t xml:space="preserve">Was $0. ~3% monthly contact rate is real even for a pull-based product.</t>
  </si>
  <si>
    <t xml:space="preserve">Hosting base / month</t>
  </si>
  <si>
    <t xml:space="preserve">Health-adjacent data needs encrypted storage, access controls, audit logging.</t>
  </si>
  <si>
    <t xml:space="preserve">Data integration / month</t>
  </si>
  <si>
    <t xml:space="preserve">Was $0 ("chain supplies data"). Circular is a PDF/flat file - building+maintaining the pipeline is real work.</t>
  </si>
  <si>
    <t xml:space="preserve">Clinical advisor / month</t>
  </si>
  <si>
    <t xml:space="preserve">Was scoped for launch. 8 hrs reviews &lt;1.5% of plans at scale. 20 hrs/mo minimum for an evolving health product.</t>
  </si>
  <si>
    <t xml:space="preserve">Insurance / month</t>
  </si>
  <si>
    <t xml:space="preserve">Was general-business. Needs E&amp;O + product liability + cyber/data-breach for medical-adjacent recommendations.</t>
  </si>
  <si>
    <t xml:space="preserve">Compliance tooling / month</t>
  </si>
  <si>
    <t xml:space="preserve">Was $0. CCPA applies to health-adjacent personal data.</t>
  </si>
  <si>
    <t xml:space="preserve">QA automation / month</t>
  </si>
  <si>
    <t xml:space="preserve">Was $0. Automated checks back up the &lt;2% human spot-review.</t>
  </si>
  <si>
    <t xml:space="preserve">RESULTING GROSS MARGIN</t>
  </si>
  <si>
    <t xml:space="preserve">Gross margin per user (at $5 rate)</t>
  </si>
  <si>
    <t xml:space="preserve">Per-user contribution before fixed costs.</t>
  </si>
  <si>
    <t xml:space="preserve">From 95% fantasy to 64% realistic (health-adjacent AI SaaS range 60-70%).</t>
  </si>
  <si>
    <t xml:space="preserve">LESSONS FROM THE AUDIT</t>
  </si>
  <si>
    <t xml:space="preserve">AI zeroed out every uncertain cost (data integration, support, compliance, QA all came back $0).</t>
  </si>
  <si>
    <t xml:space="preserve">The 95% margin was the tell. Any margin above 80% means costs are missing - that was the cue to push back.</t>
  </si>
  <si>
    <t xml:space="preserve">Founder time is the hidden cost: tracked at 22-34 hrs/mo but valued at $0 per assignment. At market rate this is $1,100-2,550/mo.</t>
  </si>
  <si>
    <t xml:space="preserve">The load-bearing number is the chain rate. At $2/user the model loses money on every user before fixed costs even apply.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</si>
</sst>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\$#,##0"/>
    <numFmt numFmtId="167" formatCode="#,##0"/>
    <numFmt numFmtId="168" formatCode="\$#,##0.00"/>
    <numFmt numFmtId="169" formatCode="0.0%"/>
    <numFmt numFmtId="170" formatCode="\$#,##0"/>
    <numFmt numFmtId="171" formatCode="\$#,##0;&quot;($&quot;#,##0\)"/>
    <numFmt numFmtId="172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sz val="10"/>
      <color rgb="FF008000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CCCCC"/>
      </patternFill>
    </fill>
    <fill>
      <patternFill patternType="solid">
        <fgColor rgb="FF1A1A1A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4"/>
    <col collapsed="false" customWidth="true" hidden="false" outlineLevel="0" max="4" min="4" style="1" width="5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  <c r="D4" s="5"/>
    </row>
    <row r="5" customFormat="false" ht="15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</row>
    <row r="6" customFormat="false" ht="18.75" hidden="false" customHeight="true" outlineLevel="0" collapsed="false">
      <c r="A6" s="7" t="s">
        <v>7</v>
      </c>
      <c r="B6" s="8" t="n">
        <v>5</v>
      </c>
      <c r="C6" s="7" t="s">
        <v>8</v>
      </c>
      <c r="D6" s="9" t="s">
        <v>9</v>
      </c>
    </row>
    <row r="7" customFormat="false" ht="18.75" hidden="false" customHeight="true" outlineLevel="0" collapsed="false">
      <c r="A7" s="7" t="s">
        <v>10</v>
      </c>
      <c r="B7" s="8" t="n">
        <v>0.35</v>
      </c>
      <c r="C7" s="7" t="s">
        <v>11</v>
      </c>
      <c r="D7" s="9" t="s">
        <v>12</v>
      </c>
    </row>
    <row r="8" customFormat="false" ht="18.75" hidden="false" customHeight="true" outlineLevel="0" collapsed="false">
      <c r="A8" s="7" t="s">
        <v>13</v>
      </c>
      <c r="B8" s="8" t="n">
        <v>0.1</v>
      </c>
      <c r="C8" s="7" t="s">
        <v>8</v>
      </c>
      <c r="D8" s="9" t="s">
        <v>14</v>
      </c>
    </row>
    <row r="9" customFormat="false" ht="15" hidden="false" customHeight="true" outlineLevel="0" collapsed="false">
      <c r="A9" s="7" t="s">
        <v>15</v>
      </c>
      <c r="B9" s="8" t="n">
        <v>0.15</v>
      </c>
      <c r="C9" s="7" t="s">
        <v>8</v>
      </c>
      <c r="D9" s="9" t="s">
        <v>16</v>
      </c>
    </row>
    <row r="10" customFormat="false" ht="18.75" hidden="false" customHeight="true" outlineLevel="0" collapsed="false">
      <c r="A10" s="7" t="s">
        <v>17</v>
      </c>
      <c r="B10" s="10" t="n">
        <v>200</v>
      </c>
      <c r="C10" s="7" t="s">
        <v>8</v>
      </c>
      <c r="D10" s="9" t="s">
        <v>18</v>
      </c>
    </row>
    <row r="11" customFormat="false" ht="18.75" hidden="false" customHeight="true" outlineLevel="0" collapsed="false">
      <c r="A11" s="7" t="s">
        <v>19</v>
      </c>
      <c r="B11" s="10" t="n">
        <v>400</v>
      </c>
      <c r="C11" s="7" t="s">
        <v>8</v>
      </c>
      <c r="D11" s="9" t="s">
        <v>20</v>
      </c>
    </row>
    <row r="12" customFormat="false" ht="18.75" hidden="false" customHeight="true" outlineLevel="0" collapsed="false">
      <c r="A12" s="7" t="s">
        <v>21</v>
      </c>
      <c r="B12" s="10" t="n">
        <v>3000</v>
      </c>
      <c r="C12" s="7" t="s">
        <v>8</v>
      </c>
      <c r="D12" s="9" t="s">
        <v>22</v>
      </c>
    </row>
    <row r="13" customFormat="false" ht="18.75" hidden="false" customHeight="true" outlineLevel="0" collapsed="false">
      <c r="A13" s="7" t="s">
        <v>23</v>
      </c>
      <c r="B13" s="10" t="n">
        <v>600</v>
      </c>
      <c r="C13" s="7" t="s">
        <v>8</v>
      </c>
      <c r="D13" s="9" t="s">
        <v>24</v>
      </c>
    </row>
    <row r="14" customFormat="false" ht="15" hidden="false" customHeight="true" outlineLevel="0" collapsed="false">
      <c r="A14" s="7" t="s">
        <v>25</v>
      </c>
      <c r="B14" s="10" t="n">
        <v>200</v>
      </c>
      <c r="C14" s="7" t="s">
        <v>8</v>
      </c>
      <c r="D14" s="9" t="s">
        <v>26</v>
      </c>
    </row>
    <row r="15" customFormat="false" ht="18.75" hidden="false" customHeight="true" outlineLevel="0" collapsed="false">
      <c r="A15" s="7" t="s">
        <v>27</v>
      </c>
      <c r="B15" s="10" t="n">
        <v>100</v>
      </c>
      <c r="C15" s="7" t="s">
        <v>8</v>
      </c>
      <c r="D15" s="9" t="s">
        <v>28</v>
      </c>
    </row>
    <row r="16" customFormat="false" ht="18.75" hidden="false" customHeight="true" outlineLevel="0" collapsed="false">
      <c r="A16" s="7" t="s">
        <v>29</v>
      </c>
      <c r="B16" s="8" t="n">
        <v>0</v>
      </c>
      <c r="C16" s="7" t="s">
        <v>30</v>
      </c>
      <c r="D16" s="9" t="s">
        <v>31</v>
      </c>
    </row>
    <row r="17" customFormat="false" ht="15" hidden="false" customHeight="true" outlineLevel="0" collapsed="false">
      <c r="A17" s="7" t="s">
        <v>32</v>
      </c>
      <c r="B17" s="11" t="n">
        <v>500</v>
      </c>
      <c r="C17" s="7" t="s">
        <v>8</v>
      </c>
      <c r="D17" s="9" t="s">
        <v>33</v>
      </c>
    </row>
    <row r="19" customFormat="false" ht="15" hidden="false" customHeight="true" outlineLevel="0" collapsed="false">
      <c r="A19" s="4" t="s">
        <v>34</v>
      </c>
      <c r="B19" s="5"/>
      <c r="C19" s="5"/>
      <c r="D19" s="5"/>
    </row>
    <row r="20" customFormat="false" ht="15" hidden="false" customHeight="true" outlineLevel="0" collapsed="false">
      <c r="A20" s="6" t="s">
        <v>35</v>
      </c>
      <c r="B20" s="6" t="s">
        <v>4</v>
      </c>
      <c r="C20" s="6" t="s">
        <v>36</v>
      </c>
      <c r="D20" s="6" t="s">
        <v>6</v>
      </c>
    </row>
    <row r="21" customFormat="false" ht="15" hidden="false" customHeight="true" outlineLevel="0" collapsed="false">
      <c r="A21" s="12" t="s">
        <v>37</v>
      </c>
      <c r="B21" s="13" t="n">
        <f aca="false">(B7+B8+B9+(B10+B11)/B17)</f>
        <v>1.8</v>
      </c>
      <c r="C21" s="14" t="s">
        <v>38</v>
      </c>
      <c r="D21" s="9" t="s">
        <v>39</v>
      </c>
    </row>
    <row r="22" customFormat="false" ht="15" hidden="false" customHeight="true" outlineLevel="0" collapsed="false">
      <c r="A22" s="12" t="s">
        <v>40</v>
      </c>
      <c r="B22" s="13" t="n">
        <f aca="false">B6-(B7+B8+B9+(B10+B11)/B17)</f>
        <v>3.2</v>
      </c>
      <c r="C22" s="14" t="s">
        <v>41</v>
      </c>
      <c r="D22" s="9" t="s">
        <v>42</v>
      </c>
    </row>
    <row r="23" customFormat="false" ht="15" hidden="false" customHeight="true" outlineLevel="0" collapsed="false">
      <c r="A23" s="12" t="s">
        <v>43</v>
      </c>
      <c r="B23" s="15" t="n">
        <f aca="false">(B6-(B7+B8+B9+(B10+B11)/B17))/B6</f>
        <v>0.64</v>
      </c>
      <c r="C23" s="14" t="s">
        <v>44</v>
      </c>
      <c r="D23" s="9" t="s">
        <v>45</v>
      </c>
    </row>
    <row r="24" customFormat="false" ht="15" hidden="false" customHeight="true" outlineLevel="0" collapsed="false">
      <c r="A24" s="12" t="s">
        <v>46</v>
      </c>
      <c r="B24" s="16" t="n">
        <f aca="false">B12+B13+B14+B15</f>
        <v>3900</v>
      </c>
      <c r="C24" s="14" t="s">
        <v>47</v>
      </c>
      <c r="D24" s="9" t="s">
        <v>48</v>
      </c>
    </row>
    <row r="25" customFormat="false" ht="15" hidden="false" customHeight="true" outlineLevel="0" collapsed="false">
      <c r="A25" s="12" t="s">
        <v>49</v>
      </c>
      <c r="B25" s="17" t="n">
        <f aca="false">(B12+B13+B14+B15)/(B6-(B7+B8+B9+(B10+B11)/B17))</f>
        <v>1218.75</v>
      </c>
      <c r="C25" s="14" t="s">
        <v>50</v>
      </c>
      <c r="D25" s="9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1"/>
    <col collapsed="false" customWidth="true" hidden="false" outlineLevel="0" max="6" min="6" style="1" width="13"/>
    <col collapsed="false" customWidth="true" hidden="false" outlineLevel="0" max="7" min="7" style="1" width="46"/>
    <col collapsed="false" customWidth="true" hidden="false" outlineLevel="0" max="8" min="8" style="1" width="40"/>
  </cols>
  <sheetData>
    <row r="1" customFormat="false" ht="15.75" hidden="false" customHeight="true" outlineLevel="0" collapsed="false">
      <c r="A1" s="2" t="s">
        <v>52</v>
      </c>
    </row>
    <row r="2" customFormat="false" ht="15" hidden="false" customHeight="true" outlineLevel="0" collapsed="false">
      <c r="A2" s="3" t="s">
        <v>53</v>
      </c>
    </row>
    <row r="4" customFormat="false" ht="15" hidden="false" customHeight="true" outlineLevel="0" collapsed="false">
      <c r="A4" s="4" t="s">
        <v>54</v>
      </c>
      <c r="B4" s="5"/>
      <c r="C4" s="5"/>
      <c r="D4" s="5"/>
      <c r="E4" s="5"/>
      <c r="F4" s="5"/>
      <c r="G4" s="5"/>
    </row>
    <row r="5" customFormat="false" ht="15" hidden="false" customHeight="true" outlineLevel="0" collapsed="false">
      <c r="A5" s="18" t="s">
        <v>55</v>
      </c>
    </row>
    <row r="6" customFormat="false" ht="15" hidden="false" customHeight="true" outlineLevel="0" collapsed="false">
      <c r="A6" s="19" t="s">
        <v>56</v>
      </c>
      <c r="B6" s="19" t="s">
        <v>57</v>
      </c>
      <c r="C6" s="19" t="s">
        <v>58</v>
      </c>
      <c r="D6" s="19" t="s">
        <v>59</v>
      </c>
      <c r="E6" s="19" t="s">
        <v>60</v>
      </c>
      <c r="F6" s="19" t="s">
        <v>61</v>
      </c>
      <c r="G6" s="19" t="s">
        <v>62</v>
      </c>
      <c r="H6" s="19" t="s">
        <v>63</v>
      </c>
    </row>
    <row r="7" customFormat="false" ht="18.75" hidden="false" customHeight="true" outlineLevel="0" collapsed="false">
      <c r="A7" s="7" t="s">
        <v>64</v>
      </c>
      <c r="B7" s="20" t="n">
        <v>0</v>
      </c>
      <c r="C7" s="20" t="n">
        <v>0</v>
      </c>
      <c r="D7" s="20" t="n">
        <v>0</v>
      </c>
      <c r="E7" s="20" t="n">
        <v>0</v>
      </c>
      <c r="F7" s="20" t="n">
        <v>0</v>
      </c>
      <c r="G7" s="21" t="n">
        <v>250</v>
      </c>
      <c r="H7" s="9" t="s">
        <v>65</v>
      </c>
    </row>
    <row r="8" customFormat="false" ht="15" hidden="false" customHeight="true" outlineLevel="0" collapsed="false">
      <c r="A8" s="7" t="s">
        <v>66</v>
      </c>
      <c r="B8" s="22" t="n">
        <f aca="false">B7*'Unit Economics'!B6</f>
        <v>0</v>
      </c>
      <c r="C8" s="22" t="n">
        <f aca="false">C7*'Unit Economics'!B6</f>
        <v>0</v>
      </c>
      <c r="D8" s="22" t="n">
        <f aca="false">D7*'Unit Economics'!B6</f>
        <v>0</v>
      </c>
      <c r="E8" s="22" t="n">
        <f aca="false">E7*'Unit Economics'!B6</f>
        <v>0</v>
      </c>
      <c r="F8" s="22" t="n">
        <f aca="false">F7*'Unit Economics'!B6</f>
        <v>0</v>
      </c>
      <c r="G8" s="22" t="n">
        <f aca="false">G7*'Unit Economics'!B6</f>
        <v>1250</v>
      </c>
      <c r="H8" s="14" t="s">
        <v>67</v>
      </c>
    </row>
    <row r="9" customFormat="false" ht="15" hidden="false" customHeight="true" outlineLevel="0" collapsed="false">
      <c r="A9" s="7" t="s">
        <v>68</v>
      </c>
      <c r="B9" s="22" t="n">
        <f aca="false">B7*'Unit Economics'!B22*0+B7*('Unit Economics'!B7+'Unit Economics'!B8+'Unit Economics'!B9)</f>
        <v>0</v>
      </c>
      <c r="C9" s="22" t="n">
        <f aca="false">C7*'Unit Economics'!B22*0+C7*('Unit Economics'!B7+'Unit Economics'!B8+'Unit Economics'!B9)</f>
        <v>0</v>
      </c>
      <c r="D9" s="22" t="n">
        <f aca="false">D7*'Unit Economics'!B22*0+D7*('Unit Economics'!B7+'Unit Economics'!B8+'Unit Economics'!B9)</f>
        <v>0</v>
      </c>
      <c r="E9" s="22" t="n">
        <f aca="false">E7*'Unit Economics'!B22*0+E7*('Unit Economics'!B7+'Unit Economics'!B8+'Unit Economics'!B9)</f>
        <v>0</v>
      </c>
      <c r="F9" s="22" t="n">
        <f aca="false">F7*'Unit Economics'!B22*0+F7*('Unit Economics'!B7+'Unit Economics'!B8+'Unit Economics'!B9)</f>
        <v>0</v>
      </c>
      <c r="G9" s="22" t="n">
        <f aca="false">G7*'Unit Economics'!B22*0+G7*('Unit Economics'!B7+'Unit Economics'!B8+'Unit Economics'!B9)</f>
        <v>150</v>
      </c>
      <c r="H9" s="14" t="s">
        <v>69</v>
      </c>
    </row>
    <row r="10" customFormat="false" ht="18.75" hidden="false" customHeight="true" outlineLevel="0" collapsed="false">
      <c r="A10" s="7" t="s">
        <v>70</v>
      </c>
      <c r="B10" s="22" t="n">
        <f aca="false">'Unit Economics'!B24</f>
        <v>3900</v>
      </c>
      <c r="C10" s="22" t="n">
        <f aca="false">'Unit Economics'!B24</f>
        <v>3900</v>
      </c>
      <c r="D10" s="22" t="n">
        <f aca="false">'Unit Economics'!B24</f>
        <v>3900</v>
      </c>
      <c r="E10" s="22" t="n">
        <f aca="false">'Unit Economics'!B24</f>
        <v>3900</v>
      </c>
      <c r="F10" s="22" t="n">
        <f aca="false">'Unit Economics'!B24</f>
        <v>3900</v>
      </c>
      <c r="G10" s="22" t="n">
        <f aca="false">'Unit Economics'!B24</f>
        <v>3900</v>
      </c>
      <c r="H10" s="9" t="s">
        <v>71</v>
      </c>
    </row>
    <row r="11" customFormat="false" ht="15" hidden="false" customHeight="true" outlineLevel="0" collapsed="false">
      <c r="A11" s="12" t="s">
        <v>72</v>
      </c>
      <c r="B11" s="23" t="n">
        <f aca="false">B8-B9-B10</f>
        <v>-3900</v>
      </c>
      <c r="C11" s="23" t="n">
        <f aca="false">C8-C9-C10</f>
        <v>-3900</v>
      </c>
      <c r="D11" s="23" t="n">
        <f aca="false">D8-D9-D10</f>
        <v>-3900</v>
      </c>
      <c r="E11" s="23" t="n">
        <f aca="false">E8-E9-E10</f>
        <v>-3900</v>
      </c>
      <c r="F11" s="23" t="n">
        <f aca="false">F8-F9-F10</f>
        <v>-3900</v>
      </c>
      <c r="G11" s="23" t="n">
        <f aca="false">G8-G9-G10</f>
        <v>-2800</v>
      </c>
    </row>
    <row r="12" customFormat="false" ht="15" hidden="false" customHeight="true" outlineLevel="0" collapsed="false">
      <c r="A12" s="12" t="s">
        <v>73</v>
      </c>
      <c r="B12" s="23" t="n">
        <f aca="false">B11</f>
        <v>-3900</v>
      </c>
      <c r="C12" s="23" t="n">
        <f aca="false">B12+C11</f>
        <v>-7800</v>
      </c>
      <c r="D12" s="23" t="n">
        <f aca="false">C12+D11</f>
        <v>-11700</v>
      </c>
      <c r="E12" s="23" t="n">
        <f aca="false">D12+E11</f>
        <v>-15600</v>
      </c>
      <c r="F12" s="23" t="n">
        <f aca="false">E12+F11</f>
        <v>-19500</v>
      </c>
      <c r="G12" s="23" t="n">
        <f aca="false">F12+G11</f>
        <v>-22300</v>
      </c>
    </row>
    <row r="14" customFormat="false" ht="15" hidden="false" customHeight="true" outlineLevel="0" collapsed="false">
      <c r="A14" s="4" t="s">
        <v>74</v>
      </c>
      <c r="B14" s="5"/>
      <c r="C14" s="5"/>
      <c r="D14" s="5"/>
      <c r="E14" s="5"/>
      <c r="F14" s="5"/>
      <c r="G14" s="5"/>
    </row>
    <row r="15" customFormat="false" ht="15" hidden="false" customHeight="true" outlineLevel="0" collapsed="false">
      <c r="A15" s="18" t="s">
        <v>75</v>
      </c>
    </row>
    <row r="16" customFormat="false" ht="15" hidden="false" customHeight="true" outlineLevel="0" collapsed="false">
      <c r="A16" s="19" t="s">
        <v>56</v>
      </c>
      <c r="B16" s="19" t="s">
        <v>57</v>
      </c>
      <c r="C16" s="19" t="s">
        <v>58</v>
      </c>
      <c r="D16" s="19" t="s">
        <v>59</v>
      </c>
      <c r="E16" s="19" t="s">
        <v>60</v>
      </c>
      <c r="F16" s="19" t="s">
        <v>61</v>
      </c>
      <c r="G16" s="19" t="s">
        <v>62</v>
      </c>
      <c r="H16" s="19" t="s">
        <v>63</v>
      </c>
    </row>
    <row r="17" customFormat="false" ht="18.75" hidden="false" customHeight="true" outlineLevel="0" collapsed="false">
      <c r="A17" s="7" t="s">
        <v>64</v>
      </c>
      <c r="B17" s="20" t="n">
        <v>0</v>
      </c>
      <c r="C17" s="20" t="n">
        <v>0</v>
      </c>
      <c r="D17" s="21" t="n">
        <v>250</v>
      </c>
      <c r="E17" s="20" t="n">
        <f aca="false">ROUND(D17*(1-0.2),0)</f>
        <v>200</v>
      </c>
      <c r="F17" s="20" t="n">
        <f aca="false">ROUND(E17*(1-0.2),0)</f>
        <v>160</v>
      </c>
      <c r="G17" s="20" t="n">
        <f aca="false">ROUND(F17*(1-0.2),0)</f>
        <v>128</v>
      </c>
      <c r="H17" s="9" t="s">
        <v>76</v>
      </c>
    </row>
    <row r="18" customFormat="false" ht="15" hidden="false" customHeight="true" outlineLevel="0" collapsed="false">
      <c r="A18" s="7" t="s">
        <v>66</v>
      </c>
      <c r="B18" s="22" t="n">
        <f aca="false">B17*'Unit Economics'!B6</f>
        <v>0</v>
      </c>
      <c r="C18" s="22" t="n">
        <f aca="false">C17*'Unit Economics'!B6</f>
        <v>0</v>
      </c>
      <c r="D18" s="22" t="n">
        <f aca="false">D17*'Unit Economics'!B6</f>
        <v>1250</v>
      </c>
      <c r="E18" s="22" t="n">
        <f aca="false">E17*'Unit Economics'!B6</f>
        <v>1000</v>
      </c>
      <c r="F18" s="22" t="n">
        <f aca="false">F17*'Unit Economics'!B6</f>
        <v>800</v>
      </c>
      <c r="G18" s="22" t="n">
        <f aca="false">G17*'Unit Economics'!B6</f>
        <v>640</v>
      </c>
      <c r="H18" s="14" t="s">
        <v>67</v>
      </c>
    </row>
    <row r="19" customFormat="false" ht="15" hidden="false" customHeight="true" outlineLevel="0" collapsed="false">
      <c r="A19" s="7" t="s">
        <v>68</v>
      </c>
      <c r="B19" s="22" t="n">
        <f aca="false">B17*'Unit Economics'!B22*0+B17*('Unit Economics'!B7+'Unit Economics'!B8+'Unit Economics'!B9)</f>
        <v>0</v>
      </c>
      <c r="C19" s="22" t="n">
        <f aca="false">C17*'Unit Economics'!B22*0+C17*('Unit Economics'!B7+'Unit Economics'!B8+'Unit Economics'!B9)</f>
        <v>0</v>
      </c>
      <c r="D19" s="22" t="n">
        <f aca="false">D17*'Unit Economics'!B22*0+D17*('Unit Economics'!B7+'Unit Economics'!B8+'Unit Economics'!B9)</f>
        <v>150</v>
      </c>
      <c r="E19" s="22" t="n">
        <f aca="false">E17*'Unit Economics'!B22*0+E17*('Unit Economics'!B7+'Unit Economics'!B8+'Unit Economics'!B9)</f>
        <v>120</v>
      </c>
      <c r="F19" s="22" t="n">
        <f aca="false">F17*'Unit Economics'!B22*0+F17*('Unit Economics'!B7+'Unit Economics'!B8+'Unit Economics'!B9)</f>
        <v>96</v>
      </c>
      <c r="G19" s="22" t="n">
        <f aca="false">G17*'Unit Economics'!B22*0+G17*('Unit Economics'!B7+'Unit Economics'!B8+'Unit Economics'!B9)</f>
        <v>76.8</v>
      </c>
      <c r="H19" s="14" t="s">
        <v>69</v>
      </c>
    </row>
    <row r="20" customFormat="false" ht="18.75" hidden="false" customHeight="true" outlineLevel="0" collapsed="false">
      <c r="A20" s="7" t="s">
        <v>70</v>
      </c>
      <c r="B20" s="22" t="n">
        <f aca="false">'Unit Economics'!B24</f>
        <v>3900</v>
      </c>
      <c r="C20" s="22" t="n">
        <f aca="false">'Unit Economics'!B24</f>
        <v>3900</v>
      </c>
      <c r="D20" s="22" t="n">
        <f aca="false">'Unit Economics'!B24</f>
        <v>3900</v>
      </c>
      <c r="E20" s="22" t="n">
        <f aca="false">'Unit Economics'!B24</f>
        <v>3900</v>
      </c>
      <c r="F20" s="22" t="n">
        <f aca="false">'Unit Economics'!B24</f>
        <v>3900</v>
      </c>
      <c r="G20" s="22" t="n">
        <f aca="false">'Unit Economics'!B24</f>
        <v>3900</v>
      </c>
      <c r="H20" s="9" t="s">
        <v>71</v>
      </c>
    </row>
    <row r="21" customFormat="false" ht="15" hidden="false" customHeight="true" outlineLevel="0" collapsed="false">
      <c r="A21" s="12" t="s">
        <v>72</v>
      </c>
      <c r="B21" s="23" t="n">
        <f aca="false">B18-B19-B20</f>
        <v>-3900</v>
      </c>
      <c r="C21" s="23" t="n">
        <f aca="false">C18-C19-C20</f>
        <v>-3900</v>
      </c>
      <c r="D21" s="23" t="n">
        <f aca="false">D18-D19-D20</f>
        <v>-2800</v>
      </c>
      <c r="E21" s="23" t="n">
        <f aca="false">E18-E19-E20</f>
        <v>-3020</v>
      </c>
      <c r="F21" s="23" t="n">
        <f aca="false">F18-F19-F20</f>
        <v>-3196</v>
      </c>
      <c r="G21" s="23" t="n">
        <f aca="false">G18-G19-G20</f>
        <v>-3336.8</v>
      </c>
    </row>
    <row r="22" customFormat="false" ht="15" hidden="false" customHeight="true" outlineLevel="0" collapsed="false">
      <c r="A22" s="12" t="s">
        <v>73</v>
      </c>
      <c r="B22" s="23" t="n">
        <f aca="false">B21</f>
        <v>-3900</v>
      </c>
      <c r="C22" s="23" t="n">
        <f aca="false">B22+C21</f>
        <v>-7800</v>
      </c>
      <c r="D22" s="23" t="n">
        <f aca="false">C22+D21</f>
        <v>-10600</v>
      </c>
      <c r="E22" s="23" t="n">
        <f aca="false">D22+E21</f>
        <v>-13620</v>
      </c>
      <c r="F22" s="23" t="n">
        <f aca="false">E22+F21</f>
        <v>-16816</v>
      </c>
      <c r="G22" s="23" t="n">
        <f aca="false">F22+G21</f>
        <v>-20152.8</v>
      </c>
    </row>
    <row r="24" customFormat="false" ht="15" hidden="false" customHeight="true" outlineLevel="0" collapsed="false">
      <c r="A24" s="4" t="s">
        <v>77</v>
      </c>
      <c r="B24" s="5"/>
      <c r="C24" s="5"/>
      <c r="D24" s="5"/>
      <c r="E24" s="5"/>
      <c r="F24" s="5"/>
      <c r="G24" s="5"/>
    </row>
    <row r="25" customFormat="false" ht="15" hidden="false" customHeight="true" outlineLevel="0" collapsed="false">
      <c r="A25" s="18" t="s">
        <v>78</v>
      </c>
    </row>
    <row r="26" customFormat="false" ht="15" hidden="false" customHeight="true" outlineLevel="0" collapsed="false">
      <c r="A26" s="19" t="s">
        <v>56</v>
      </c>
      <c r="B26" s="19" t="s">
        <v>57</v>
      </c>
      <c r="C26" s="19" t="s">
        <v>58</v>
      </c>
      <c r="D26" s="19" t="s">
        <v>59</v>
      </c>
      <c r="E26" s="19" t="s">
        <v>60</v>
      </c>
      <c r="F26" s="19" t="s">
        <v>61</v>
      </c>
      <c r="G26" s="19" t="s">
        <v>62</v>
      </c>
      <c r="H26" s="19" t="s">
        <v>63</v>
      </c>
    </row>
    <row r="27" customFormat="false" ht="18.75" hidden="false" customHeight="true" outlineLevel="0" collapsed="false">
      <c r="A27" s="7" t="s">
        <v>64</v>
      </c>
      <c r="B27" s="20" t="n">
        <v>0</v>
      </c>
      <c r="C27" s="21" t="n">
        <v>1000</v>
      </c>
      <c r="D27" s="20" t="n">
        <f aca="false">ROUND(C27*(1-0.1),0)</f>
        <v>900</v>
      </c>
      <c r="E27" s="20" t="n">
        <f aca="false">ROUND(D27*(1-0.1),0)</f>
        <v>810</v>
      </c>
      <c r="F27" s="20" t="n">
        <f aca="false">ROUND(E27*(1-0.1),0)</f>
        <v>729</v>
      </c>
      <c r="G27" s="20" t="n">
        <f aca="false">ROUND(F27*(1-0.1),0)</f>
        <v>656</v>
      </c>
      <c r="H27" s="9" t="s">
        <v>79</v>
      </c>
    </row>
    <row r="28" customFormat="false" ht="15" hidden="false" customHeight="true" outlineLevel="0" collapsed="false">
      <c r="A28" s="7" t="s">
        <v>66</v>
      </c>
      <c r="B28" s="22" t="n">
        <f aca="false">B27*'Unit Economics'!B6</f>
        <v>0</v>
      </c>
      <c r="C28" s="22" t="n">
        <f aca="false">C27*'Unit Economics'!B6</f>
        <v>5000</v>
      </c>
      <c r="D28" s="22" t="n">
        <f aca="false">D27*'Unit Economics'!B6</f>
        <v>4500</v>
      </c>
      <c r="E28" s="22" t="n">
        <f aca="false">E27*'Unit Economics'!B6</f>
        <v>4050</v>
      </c>
      <c r="F28" s="22" t="n">
        <f aca="false">F27*'Unit Economics'!B6</f>
        <v>3645</v>
      </c>
      <c r="G28" s="22" t="n">
        <f aca="false">G27*'Unit Economics'!B6</f>
        <v>3280</v>
      </c>
      <c r="H28" s="14" t="s">
        <v>67</v>
      </c>
    </row>
    <row r="29" customFormat="false" ht="15" hidden="false" customHeight="true" outlineLevel="0" collapsed="false">
      <c r="A29" s="7" t="s">
        <v>68</v>
      </c>
      <c r="B29" s="22" t="n">
        <f aca="false">B27*'Unit Economics'!B22*0+B27*('Unit Economics'!B7+'Unit Economics'!B8+'Unit Economics'!B9)</f>
        <v>0</v>
      </c>
      <c r="C29" s="22" t="n">
        <f aca="false">C27*'Unit Economics'!B22*0+C27*('Unit Economics'!B7+'Unit Economics'!B8+'Unit Economics'!B9)</f>
        <v>600</v>
      </c>
      <c r="D29" s="22" t="n">
        <f aca="false">D27*'Unit Economics'!B22*0+D27*('Unit Economics'!B7+'Unit Economics'!B8+'Unit Economics'!B9)</f>
        <v>540</v>
      </c>
      <c r="E29" s="22" t="n">
        <f aca="false">E27*'Unit Economics'!B22*0+E27*('Unit Economics'!B7+'Unit Economics'!B8+'Unit Economics'!B9)</f>
        <v>486</v>
      </c>
      <c r="F29" s="22" t="n">
        <f aca="false">F27*'Unit Economics'!B22*0+F27*('Unit Economics'!B7+'Unit Economics'!B8+'Unit Economics'!B9)</f>
        <v>437.4</v>
      </c>
      <c r="G29" s="22" t="n">
        <f aca="false">G27*'Unit Economics'!B22*0+G27*('Unit Economics'!B7+'Unit Economics'!B8+'Unit Economics'!B9)</f>
        <v>393.6</v>
      </c>
      <c r="H29" s="14" t="s">
        <v>69</v>
      </c>
    </row>
    <row r="30" customFormat="false" ht="18.75" hidden="false" customHeight="true" outlineLevel="0" collapsed="false">
      <c r="A30" s="7" t="s">
        <v>70</v>
      </c>
      <c r="B30" s="22" t="n">
        <f aca="false">'Unit Economics'!B24</f>
        <v>3900</v>
      </c>
      <c r="C30" s="22" t="n">
        <f aca="false">'Unit Economics'!B24</f>
        <v>3900</v>
      </c>
      <c r="D30" s="22" t="n">
        <f aca="false">'Unit Economics'!B24</f>
        <v>3900</v>
      </c>
      <c r="E30" s="22" t="n">
        <f aca="false">'Unit Economics'!B24</f>
        <v>3900</v>
      </c>
      <c r="F30" s="22" t="n">
        <f aca="false">'Unit Economics'!B24</f>
        <v>3900</v>
      </c>
      <c r="G30" s="22" t="n">
        <f aca="false">'Unit Economics'!B24</f>
        <v>3900</v>
      </c>
      <c r="H30" s="9" t="s">
        <v>71</v>
      </c>
    </row>
    <row r="31" customFormat="false" ht="15" hidden="false" customHeight="true" outlineLevel="0" collapsed="false">
      <c r="A31" s="12" t="s">
        <v>72</v>
      </c>
      <c r="B31" s="23" t="n">
        <f aca="false">B28-B29-B30</f>
        <v>-3900</v>
      </c>
      <c r="C31" s="23" t="n">
        <f aca="false">C28-C29-C30</f>
        <v>500</v>
      </c>
      <c r="D31" s="23" t="n">
        <f aca="false">D28-D29-D30</f>
        <v>60</v>
      </c>
      <c r="E31" s="23" t="n">
        <f aca="false">E28-E29-E30</f>
        <v>-336</v>
      </c>
      <c r="F31" s="23" t="n">
        <f aca="false">F28-F29-F30</f>
        <v>-692.4</v>
      </c>
      <c r="G31" s="23" t="n">
        <f aca="false">G28-G29-G30</f>
        <v>-1013.6</v>
      </c>
    </row>
    <row r="32" customFormat="false" ht="15" hidden="false" customHeight="true" outlineLevel="0" collapsed="false">
      <c r="A32" s="12" t="s">
        <v>73</v>
      </c>
      <c r="B32" s="23" t="n">
        <f aca="false">B31</f>
        <v>-3900</v>
      </c>
      <c r="C32" s="23" t="n">
        <f aca="false">B32+C31</f>
        <v>-3400</v>
      </c>
      <c r="D32" s="23" t="n">
        <f aca="false">C32+D31</f>
        <v>-3340</v>
      </c>
      <c r="E32" s="23" t="n">
        <f aca="false">D32+E31</f>
        <v>-3676</v>
      </c>
      <c r="F32" s="23" t="n">
        <f aca="false">E32+F31</f>
        <v>-4368.4</v>
      </c>
      <c r="G32" s="23" t="n">
        <f aca="false">F32+G31</f>
        <v>-5382</v>
      </c>
    </row>
    <row r="34" customFormat="false" ht="15" hidden="false" customHeight="true" outlineLevel="0" collapsed="false">
      <c r="A34" s="4" t="s">
        <v>80</v>
      </c>
      <c r="B34" s="5"/>
      <c r="C34" s="5"/>
      <c r="D34" s="5"/>
      <c r="E34" s="5"/>
      <c r="F34" s="5"/>
      <c r="G34" s="5"/>
    </row>
    <row r="35" customFormat="false" ht="27.75" hidden="false" customHeight="true" outlineLevel="0" collapsed="false">
      <c r="A35" s="12" t="s">
        <v>81</v>
      </c>
      <c r="B35" s="24" t="s">
        <v>82</v>
      </c>
      <c r="C35" s="24"/>
      <c r="D35" s="24"/>
      <c r="E35" s="24"/>
      <c r="F35" s="24"/>
      <c r="G35" s="24"/>
      <c r="H35" s="24"/>
    </row>
    <row r="36" customFormat="false" ht="27.75" hidden="false" customHeight="true" outlineLevel="0" collapsed="false">
      <c r="A36" s="12" t="s">
        <v>83</v>
      </c>
      <c r="B36" s="24" t="s">
        <v>84</v>
      </c>
      <c r="C36" s="24"/>
      <c r="D36" s="24"/>
      <c r="E36" s="24"/>
      <c r="F36" s="24"/>
      <c r="G36" s="24"/>
      <c r="H36" s="24"/>
    </row>
    <row r="37" customFormat="false" ht="27.75" hidden="false" customHeight="true" outlineLevel="0" collapsed="false">
      <c r="A37" s="12" t="s">
        <v>85</v>
      </c>
      <c r="B37" s="24" t="s">
        <v>86</v>
      </c>
      <c r="C37" s="24"/>
      <c r="D37" s="24"/>
      <c r="E37" s="24"/>
      <c r="F37" s="24"/>
      <c r="G37" s="24"/>
      <c r="H37" s="24"/>
    </row>
    <row r="38" customFormat="false" ht="27.75" hidden="false" customHeight="true" outlineLevel="0" collapsed="false">
      <c r="A38" s="12" t="s">
        <v>87</v>
      </c>
      <c r="B38" s="24" t="s">
        <v>88</v>
      </c>
      <c r="C38" s="24"/>
      <c r="D38" s="24"/>
      <c r="E38" s="24"/>
      <c r="F38" s="24"/>
      <c r="G38" s="24"/>
      <c r="H38" s="24"/>
    </row>
    <row r="39" customFormat="false" ht="27.75" hidden="false" customHeight="true" outlineLevel="0" collapsed="false">
      <c r="A39" s="12" t="s">
        <v>89</v>
      </c>
      <c r="B39" s="24" t="s">
        <v>90</v>
      </c>
      <c r="C39" s="24"/>
      <c r="D39" s="24"/>
      <c r="E39" s="24"/>
      <c r="F39" s="24"/>
      <c r="G39" s="24"/>
      <c r="H39" s="24"/>
    </row>
  </sheetData>
  <mergeCells count="5">
    <mergeCell ref="B35:H35"/>
    <mergeCell ref="B36:H36"/>
    <mergeCell ref="B37:H37"/>
    <mergeCell ref="B38:H38"/>
    <mergeCell ref="B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4" min="3" style="1" width="18"/>
    <col collapsed="false" customWidth="true" hidden="false" outlineLevel="0" max="5" min="5" style="1" width="4"/>
    <col collapsed="false" customWidth="true" hidden="false" outlineLevel="0" max="6" min="6" style="1" width="40"/>
  </cols>
  <sheetData>
    <row r="1" customFormat="false" ht="15.75" hidden="false" customHeight="true" outlineLevel="0" collapsed="false">
      <c r="A1" s="2" t="s">
        <v>91</v>
      </c>
    </row>
    <row r="2" customFormat="false" ht="15" hidden="false" customHeight="true" outlineLevel="0" collapsed="false">
      <c r="A2" s="3" t="s">
        <v>92</v>
      </c>
    </row>
    <row r="4" customFormat="false" ht="15" hidden="false" customHeight="true" outlineLevel="0" collapsed="false">
      <c r="A4" s="4" t="s">
        <v>93</v>
      </c>
      <c r="B4" s="5"/>
      <c r="C4" s="5"/>
      <c r="D4" s="5"/>
      <c r="E4" s="5"/>
      <c r="F4" s="5"/>
    </row>
    <row r="5" customFormat="false" ht="15" hidden="false" customHeight="true" outlineLevel="0" collapsed="false">
      <c r="A5" s="19" t="s">
        <v>94</v>
      </c>
      <c r="B5" s="19" t="s">
        <v>95</v>
      </c>
      <c r="C5" s="19" t="s">
        <v>43</v>
      </c>
      <c r="D5" s="19" t="s">
        <v>96</v>
      </c>
      <c r="E5" s="19"/>
      <c r="F5" s="19" t="s">
        <v>6</v>
      </c>
    </row>
    <row r="6" customFormat="false" ht="15" hidden="false" customHeight="true" outlineLevel="0" collapsed="false">
      <c r="A6" s="25" t="n">
        <v>2</v>
      </c>
      <c r="B6" s="26" t="n">
        <f aca="false">A6-('Unit Economics'!B7+'Unit Economics'!B8+'Unit Economics'!B9+('Unit Economics'!B10+'Unit Economics'!B11)/'Unit Economics'!B17)</f>
        <v>0.2</v>
      </c>
      <c r="C6" s="27" t="n">
        <f aca="false">(A6-('Unit Economics'!B7+'Unit Economics'!B8+'Unit Economics'!B9+('Unit Economics'!B10+'Unit Economics'!B11)/'Unit Economics'!B17))/A6</f>
        <v>0.1</v>
      </c>
      <c r="D6" s="28" t="n">
        <f aca="false">('Unit Economics'!B12+'Unit Economics'!B13+'Unit Economics'!B14+'Unit Economics'!B15)/(A6-('Unit Economics'!B7+'Unit Economics'!B8+'Unit Economics'!B9+('Unit Economics'!B10+'Unit Economics'!B11)/'Unit Economics'!B17))</f>
        <v>19500</v>
      </c>
      <c r="F6" s="9" t="s">
        <v>97</v>
      </c>
    </row>
    <row r="7" customFormat="false" ht="15" hidden="false" customHeight="true" outlineLevel="0" collapsed="false">
      <c r="A7" s="25" t="n">
        <v>3</v>
      </c>
      <c r="B7" s="26" t="n">
        <f aca="false">A7-('Unit Economics'!B7+'Unit Economics'!B8+'Unit Economics'!B9+('Unit Economics'!B10+'Unit Economics'!B11)/'Unit Economics'!B17)</f>
        <v>1.2</v>
      </c>
      <c r="C7" s="27" t="n">
        <f aca="false">(A7-('Unit Economics'!B7+'Unit Economics'!B8+'Unit Economics'!B9+('Unit Economics'!B10+'Unit Economics'!B11)/'Unit Economics'!B17))/A7</f>
        <v>0.4</v>
      </c>
      <c r="D7" s="28" t="n">
        <f aca="false">('Unit Economics'!B12+'Unit Economics'!B13+'Unit Economics'!B14+'Unit Economics'!B15)/(A7-('Unit Economics'!B7+'Unit Economics'!B8+'Unit Economics'!B9+('Unit Economics'!B10+'Unit Economics'!B11)/'Unit Economics'!B17))</f>
        <v>3250</v>
      </c>
      <c r="F7" s="9" t="s">
        <v>98</v>
      </c>
    </row>
    <row r="8" customFormat="false" ht="15" hidden="false" customHeight="true" outlineLevel="0" collapsed="false">
      <c r="A8" s="25" t="n">
        <v>5</v>
      </c>
      <c r="B8" s="26" t="n">
        <f aca="false">A8-('Unit Economics'!B7+'Unit Economics'!B8+'Unit Economics'!B9+('Unit Economics'!B10+'Unit Economics'!B11)/'Unit Economics'!B17)</f>
        <v>3.2</v>
      </c>
      <c r="C8" s="27" t="n">
        <f aca="false">(A8-('Unit Economics'!B7+'Unit Economics'!B8+'Unit Economics'!B9+('Unit Economics'!B10+'Unit Economics'!B11)/'Unit Economics'!B17))/A8</f>
        <v>0.64</v>
      </c>
      <c r="D8" s="28" t="n">
        <f aca="false">('Unit Economics'!B12+'Unit Economics'!B13+'Unit Economics'!B14+'Unit Economics'!B15)/(A8-('Unit Economics'!B7+'Unit Economics'!B8+'Unit Economics'!B9+('Unit Economics'!B10+'Unit Economics'!B11)/'Unit Economics'!B17))</f>
        <v>1218.75</v>
      </c>
      <c r="F8" s="9" t="s">
        <v>99</v>
      </c>
    </row>
    <row r="9" customFormat="false" ht="15" hidden="false" customHeight="true" outlineLevel="0" collapsed="false">
      <c r="A9" s="25" t="n">
        <v>7</v>
      </c>
      <c r="B9" s="26" t="n">
        <f aca="false">A9-('Unit Economics'!B7+'Unit Economics'!B8+'Unit Economics'!B9+('Unit Economics'!B10+'Unit Economics'!B11)/'Unit Economics'!B17)</f>
        <v>5.2</v>
      </c>
      <c r="C9" s="27" t="n">
        <f aca="false">(A9-('Unit Economics'!B7+'Unit Economics'!B8+'Unit Economics'!B9+('Unit Economics'!B10+'Unit Economics'!B11)/'Unit Economics'!B17))/A9</f>
        <v>0.742857142857143</v>
      </c>
      <c r="D9" s="28" t="n">
        <f aca="false">('Unit Economics'!B12+'Unit Economics'!B13+'Unit Economics'!B14+'Unit Economics'!B15)/(A9-('Unit Economics'!B7+'Unit Economics'!B8+'Unit Economics'!B9+('Unit Economics'!B10+'Unit Economics'!B11)/'Unit Economics'!B17))</f>
        <v>750</v>
      </c>
      <c r="F9" s="9" t="s">
        <v>100</v>
      </c>
    </row>
    <row r="10" customFormat="false" ht="18.75" hidden="false" customHeight="true" outlineLevel="0" collapsed="false">
      <c r="A10" s="25" t="n">
        <v>10</v>
      </c>
      <c r="B10" s="26" t="n">
        <f aca="false">A10-('Unit Economics'!B7+'Unit Economics'!B8+'Unit Economics'!B9+('Unit Economics'!B10+'Unit Economics'!B11)/'Unit Economics'!B17)</f>
        <v>8.2</v>
      </c>
      <c r="C10" s="27" t="n">
        <f aca="false">(A10-('Unit Economics'!B7+'Unit Economics'!B8+'Unit Economics'!B9+('Unit Economics'!B10+'Unit Economics'!B11)/'Unit Economics'!B17))/A10</f>
        <v>0.82</v>
      </c>
      <c r="D10" s="28" t="n">
        <f aca="false">('Unit Economics'!B12+'Unit Economics'!B13+'Unit Economics'!B14+'Unit Economics'!B15)/(A10-('Unit Economics'!B7+'Unit Economics'!B8+'Unit Economics'!B9+('Unit Economics'!B10+'Unit Economics'!B11)/'Unit Economics'!B17))</f>
        <v>475.609756097561</v>
      </c>
      <c r="F10" s="9" t="s">
        <v>101</v>
      </c>
    </row>
    <row r="13" customFormat="false" ht="15" hidden="false" customHeight="true" outlineLevel="0" collapsed="false">
      <c r="A13" s="4" t="s">
        <v>102</v>
      </c>
      <c r="B13" s="5"/>
      <c r="C13" s="5"/>
      <c r="D13" s="5"/>
      <c r="E13" s="5"/>
      <c r="F13" s="5"/>
    </row>
    <row r="14" customFormat="false" ht="15" hidden="false" customHeight="true" outlineLevel="0" collapsed="false">
      <c r="A14" s="19" t="s">
        <v>103</v>
      </c>
      <c r="B14" s="19" t="s">
        <v>104</v>
      </c>
      <c r="C14" s="19" t="s">
        <v>105</v>
      </c>
      <c r="D14" s="19"/>
      <c r="E14" s="19"/>
      <c r="F14" s="19" t="s">
        <v>6</v>
      </c>
    </row>
    <row r="15" customFormat="false" ht="15" hidden="false" customHeight="true" outlineLevel="0" collapsed="false">
      <c r="A15" s="29" t="n">
        <v>0.1</v>
      </c>
      <c r="B15" s="20" t="n">
        <f aca="false">ROUND(250*(1-A15)^3,0)</f>
        <v>182</v>
      </c>
      <c r="C15" s="20" t="n">
        <f aca="false">ROUND(250*(1-A15)^6,0)</f>
        <v>133</v>
      </c>
      <c r="F15" s="9" t="s">
        <v>106</v>
      </c>
    </row>
    <row r="16" customFormat="false" ht="15" hidden="false" customHeight="true" outlineLevel="0" collapsed="false">
      <c r="A16" s="29" t="n">
        <v>0.2</v>
      </c>
      <c r="B16" s="20" t="n">
        <f aca="false">ROUND(250*(1-A16)^3,0)</f>
        <v>128</v>
      </c>
      <c r="C16" s="20" t="n">
        <f aca="false">ROUND(250*(1-A16)^6,0)</f>
        <v>66</v>
      </c>
      <c r="F16" s="9" t="s">
        <v>107</v>
      </c>
    </row>
    <row r="17" customFormat="false" ht="15" hidden="false" customHeight="true" outlineLevel="0" collapsed="false">
      <c r="A17" s="29" t="n">
        <v>0.3</v>
      </c>
      <c r="B17" s="20" t="n">
        <f aca="false">ROUND(250*(1-A17)^3,0)</f>
        <v>86</v>
      </c>
      <c r="C17" s="20" t="n">
        <f aca="false">ROUND(250*(1-A17)^6,0)</f>
        <v>29</v>
      </c>
      <c r="F17" s="9" t="s">
        <v>108</v>
      </c>
    </row>
    <row r="18" customFormat="false" ht="15" hidden="false" customHeight="true" outlineLevel="0" collapsed="false">
      <c r="A18" s="29" t="n">
        <v>0.4</v>
      </c>
      <c r="B18" s="20" t="n">
        <f aca="false">ROUND(250*(1-A18)^3,0)</f>
        <v>54</v>
      </c>
      <c r="C18" s="20" t="n">
        <f aca="false">ROUND(250*(1-A18)^6,0)</f>
        <v>12</v>
      </c>
      <c r="F18" s="9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46"/>
  </cols>
  <sheetData>
    <row r="1" customFormat="false" ht="15.75" hidden="false" customHeight="true" outlineLevel="0" collapsed="false">
      <c r="A1" s="2" t="s">
        <v>110</v>
      </c>
    </row>
    <row r="2" customFormat="false" ht="15" hidden="false" customHeight="true" outlineLevel="0" collapsed="false">
      <c r="A2" s="3" t="s">
        <v>111</v>
      </c>
    </row>
    <row r="4" customFormat="false" ht="15" hidden="false" customHeight="true" outlineLevel="0" collapsed="false">
      <c r="A4" s="19" t="s">
        <v>112</v>
      </c>
      <c r="B4" s="19" t="s">
        <v>113</v>
      </c>
      <c r="C4" s="19" t="s">
        <v>114</v>
      </c>
      <c r="D4" s="19" t="s">
        <v>5</v>
      </c>
      <c r="E4" s="19" t="s">
        <v>6</v>
      </c>
    </row>
    <row r="5" customFormat="false" ht="18.75" hidden="false" customHeight="true" outlineLevel="0" collapsed="false">
      <c r="A5" s="7" t="s">
        <v>115</v>
      </c>
      <c r="B5" s="30" t="n">
        <v>0.17</v>
      </c>
      <c r="C5" s="30" t="n">
        <v>0.35</v>
      </c>
      <c r="D5" s="7" t="s">
        <v>11</v>
      </c>
      <c r="E5" s="9" t="s">
        <v>116</v>
      </c>
    </row>
    <row r="6" customFormat="false" ht="18.75" hidden="false" customHeight="true" outlineLevel="0" collapsed="false">
      <c r="A6" s="7" t="s">
        <v>117</v>
      </c>
      <c r="B6" s="30" t="n">
        <v>0.1</v>
      </c>
      <c r="C6" s="30" t="n">
        <v>0.1</v>
      </c>
      <c r="D6" s="7" t="s">
        <v>8</v>
      </c>
      <c r="E6" s="9" t="s">
        <v>118</v>
      </c>
    </row>
    <row r="7" customFormat="false" ht="18.75" hidden="false" customHeight="true" outlineLevel="0" collapsed="false">
      <c r="A7" s="7" t="s">
        <v>119</v>
      </c>
      <c r="B7" s="30" t="n">
        <v>0</v>
      </c>
      <c r="C7" s="30" t="n">
        <v>0.15</v>
      </c>
      <c r="D7" s="7" t="s">
        <v>8</v>
      </c>
      <c r="E7" s="9" t="s">
        <v>120</v>
      </c>
    </row>
    <row r="8" customFormat="false" ht="18.75" hidden="false" customHeight="true" outlineLevel="0" collapsed="false">
      <c r="A8" s="7" t="s">
        <v>121</v>
      </c>
      <c r="B8" s="31" t="n">
        <v>100</v>
      </c>
      <c r="C8" s="31" t="n">
        <v>200</v>
      </c>
      <c r="D8" s="7" t="s">
        <v>8</v>
      </c>
      <c r="E8" s="9" t="s">
        <v>122</v>
      </c>
    </row>
    <row r="9" customFormat="false" ht="18.75" hidden="false" customHeight="true" outlineLevel="0" collapsed="false">
      <c r="A9" s="7" t="s">
        <v>123</v>
      </c>
      <c r="B9" s="30" t="n">
        <v>0</v>
      </c>
      <c r="C9" s="31" t="n">
        <v>400</v>
      </c>
      <c r="D9" s="7" t="s">
        <v>8</v>
      </c>
      <c r="E9" s="9" t="s">
        <v>124</v>
      </c>
    </row>
    <row r="10" customFormat="false" ht="18.75" hidden="false" customHeight="true" outlineLevel="0" collapsed="false">
      <c r="A10" s="7" t="s">
        <v>125</v>
      </c>
      <c r="B10" s="31" t="n">
        <v>1000</v>
      </c>
      <c r="C10" s="31" t="n">
        <v>3000</v>
      </c>
      <c r="D10" s="7" t="s">
        <v>8</v>
      </c>
      <c r="E10" s="9" t="s">
        <v>126</v>
      </c>
    </row>
    <row r="11" customFormat="false" ht="18.75" hidden="false" customHeight="true" outlineLevel="0" collapsed="false">
      <c r="A11" s="7" t="s">
        <v>127</v>
      </c>
      <c r="B11" s="31" t="n">
        <v>150</v>
      </c>
      <c r="C11" s="31" t="n">
        <v>600</v>
      </c>
      <c r="D11" s="7" t="s">
        <v>8</v>
      </c>
      <c r="E11" s="9" t="s">
        <v>128</v>
      </c>
    </row>
    <row r="12" customFormat="false" ht="15" hidden="false" customHeight="true" outlineLevel="0" collapsed="false">
      <c r="A12" s="7" t="s">
        <v>129</v>
      </c>
      <c r="B12" s="30" t="n">
        <v>0</v>
      </c>
      <c r="C12" s="31" t="n">
        <v>200</v>
      </c>
      <c r="D12" s="7" t="s">
        <v>8</v>
      </c>
      <c r="E12" s="9" t="s">
        <v>130</v>
      </c>
    </row>
    <row r="13" customFormat="false" ht="15" hidden="false" customHeight="true" outlineLevel="0" collapsed="false">
      <c r="A13" s="7" t="s">
        <v>131</v>
      </c>
      <c r="B13" s="30" t="n">
        <v>0</v>
      </c>
      <c r="C13" s="31" t="n">
        <v>100</v>
      </c>
      <c r="D13" s="7" t="s">
        <v>8</v>
      </c>
      <c r="E13" s="9" t="s">
        <v>132</v>
      </c>
    </row>
    <row r="15" customFormat="false" ht="15" hidden="false" customHeight="true" outlineLevel="0" collapsed="false">
      <c r="A15" s="4" t="s">
        <v>133</v>
      </c>
      <c r="B15" s="5"/>
      <c r="C15" s="5"/>
      <c r="D15" s="5"/>
      <c r="E15" s="5"/>
    </row>
    <row r="16" customFormat="false" ht="15" hidden="false" customHeight="true" outlineLevel="0" collapsed="false">
      <c r="A16" s="12" t="s">
        <v>134</v>
      </c>
      <c r="B16" s="32" t="n">
        <f aca="false">5-0.17-0.1-(100)/500</f>
        <v>4.53</v>
      </c>
      <c r="C16" s="32" t="n">
        <f aca="false">5-0.35-0.1-0.15-(200+400)/500</f>
        <v>3.2</v>
      </c>
      <c r="E16" s="14" t="s">
        <v>135</v>
      </c>
    </row>
    <row r="17" customFormat="false" ht="18.75" hidden="false" customHeight="true" outlineLevel="0" collapsed="false">
      <c r="A17" s="12" t="s">
        <v>43</v>
      </c>
      <c r="B17" s="27" t="n">
        <f aca="false">(5-0.17-0.1-(100)/500)/5</f>
        <v>0.906</v>
      </c>
      <c r="C17" s="27" t="n">
        <f aca="false">(5-0.35-0.1-0.15-(200+400)/500)/5</f>
        <v>0.64</v>
      </c>
      <c r="E17" s="9" t="s">
        <v>136</v>
      </c>
    </row>
    <row r="19" customFormat="false" ht="15" hidden="false" customHeight="true" outlineLevel="0" collapsed="false">
      <c r="A19" s="4" t="s">
        <v>137</v>
      </c>
      <c r="B19" s="5"/>
      <c r="C19" s="5"/>
      <c r="D19" s="5"/>
      <c r="E19" s="5"/>
    </row>
    <row r="20" customFormat="false" ht="25.5" hidden="false" customHeight="true" outlineLevel="0" collapsed="false">
      <c r="A20" s="12" t="s">
        <v>81</v>
      </c>
      <c r="B20" s="24" t="s">
        <v>138</v>
      </c>
      <c r="C20" s="24"/>
      <c r="D20" s="24"/>
      <c r="E20" s="24"/>
    </row>
    <row r="21" customFormat="false" ht="25.5" hidden="false" customHeight="true" outlineLevel="0" collapsed="false">
      <c r="A21" s="12" t="s">
        <v>83</v>
      </c>
      <c r="B21" s="24" t="s">
        <v>139</v>
      </c>
      <c r="C21" s="24"/>
      <c r="D21" s="24"/>
      <c r="E21" s="24"/>
    </row>
    <row r="22" customFormat="false" ht="25.5" hidden="false" customHeight="true" outlineLevel="0" collapsed="false">
      <c r="A22" s="12" t="s">
        <v>85</v>
      </c>
      <c r="B22" s="24" t="s">
        <v>140</v>
      </c>
      <c r="C22" s="24"/>
      <c r="D22" s="24"/>
      <c r="E22" s="24"/>
    </row>
    <row r="23" customFormat="false" ht="25.5" hidden="false" customHeight="true" outlineLevel="0" collapsed="false">
      <c r="A23" s="12" t="s">
        <v>87</v>
      </c>
      <c r="B23" s="24" t="s">
        <v>141</v>
      </c>
      <c r="C23" s="24"/>
      <c r="D23" s="24"/>
      <c r="E23" s="24"/>
    </row>
  </sheetData>
  <mergeCells count="4">
    <mergeCell ref="B20:E20"/>
    <mergeCell ref="B21:E21"/>
    <mergeCell ref="B22:E22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2026-06-20T12:52:07Z</dcterms:created>
  <dc:creator>openpyxl</dc:creator>
  <dc:description/>
  <dc:language>en-US</dc:language>
  <cp:lastModifiedBy/>
  <dcterms:modified xsi:type="dcterms:W3CDTF">2026-06-20T12:52:53Z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